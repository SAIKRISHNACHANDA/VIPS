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10" windowWidth="19420" windowHeight="7760"/>
  </bookViews>
  <sheets>
    <sheet name="2.1.1&amp;2.1.2" sheetId="1" r:id="rId1"/>
  </sheets>
  <calcPr calcId="124519"/>
</workbook>
</file>

<file path=xl/calcChain.xml><?xml version="1.0" encoding="utf-8"?>
<calcChain xmlns="http://schemas.openxmlformats.org/spreadsheetml/2006/main">
  <c r="I45" i="1"/>
  <c r="H45"/>
  <c r="G45"/>
  <c r="F45"/>
  <c r="E45"/>
  <c r="I44"/>
  <c r="H44"/>
  <c r="G44"/>
  <c r="F44"/>
  <c r="E44"/>
  <c r="I43"/>
  <c r="H43"/>
  <c r="G43"/>
  <c r="F43"/>
  <c r="E43"/>
  <c r="I42"/>
  <c r="H42"/>
  <c r="G42"/>
  <c r="F42"/>
  <c r="E42"/>
  <c r="I38"/>
  <c r="H38"/>
  <c r="G38"/>
  <c r="F38"/>
  <c r="E38"/>
  <c r="I37"/>
  <c r="H37"/>
  <c r="G37"/>
  <c r="F37"/>
  <c r="E37"/>
  <c r="I36"/>
  <c r="H36"/>
  <c r="G36"/>
  <c r="F36"/>
  <c r="E36"/>
  <c r="I35"/>
  <c r="H35"/>
  <c r="G35"/>
  <c r="F35"/>
  <c r="E35"/>
  <c r="I34"/>
  <c r="H34"/>
  <c r="G34"/>
  <c r="F34"/>
  <c r="E34"/>
  <c r="I30"/>
  <c r="H30"/>
  <c r="G30"/>
  <c r="F30"/>
  <c r="E30"/>
  <c r="I29"/>
  <c r="H29"/>
  <c r="G29"/>
  <c r="F29"/>
  <c r="E29"/>
  <c r="I28"/>
  <c r="H28"/>
  <c r="G28"/>
  <c r="F28"/>
  <c r="E28"/>
  <c r="I27"/>
  <c r="H27"/>
  <c r="G27"/>
  <c r="F27"/>
  <c r="E27"/>
  <c r="I26"/>
  <c r="H26"/>
  <c r="G26"/>
  <c r="F26"/>
  <c r="E26"/>
  <c r="I25"/>
  <c r="H25"/>
  <c r="G25"/>
  <c r="F25"/>
  <c r="E25"/>
  <c r="I21"/>
  <c r="H21"/>
  <c r="G21"/>
  <c r="F21"/>
  <c r="E21"/>
  <c r="I20"/>
  <c r="H20"/>
  <c r="G20"/>
  <c r="F20"/>
  <c r="E20"/>
  <c r="I19"/>
  <c r="H19"/>
  <c r="G19"/>
  <c r="F19"/>
  <c r="E19"/>
  <c r="I18"/>
  <c r="H18"/>
  <c r="G18"/>
  <c r="F18"/>
  <c r="E18"/>
  <c r="I17"/>
  <c r="H17"/>
  <c r="G17"/>
  <c r="F17"/>
  <c r="E17"/>
  <c r="I16"/>
  <c r="H16"/>
  <c r="G16"/>
  <c r="F16"/>
  <c r="E16"/>
  <c r="I12"/>
  <c r="I11"/>
  <c r="I10"/>
  <c r="I9"/>
  <c r="I8"/>
  <c r="I7"/>
  <c r="I6"/>
  <c r="H12"/>
  <c r="H11"/>
  <c r="H10"/>
  <c r="H9"/>
  <c r="H8"/>
  <c r="H7"/>
  <c r="H6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</calcChain>
</file>

<file path=xl/sharedStrings.xml><?xml version="1.0" encoding="utf-8"?>
<sst xmlns="http://schemas.openxmlformats.org/spreadsheetml/2006/main" count="144" uniqueCount="33">
  <si>
    <t>2.1.1 Enrolment Percentage</t>
  </si>
  <si>
    <t xml:space="preserve">2.1.2  Percentage of seats filled against seats reserved for various categories (SC, ST, OBC etc. as per applicable reservation policy) during the last five years ( exclusive of supernumerary seats) </t>
  </si>
  <si>
    <t>Programme name</t>
  </si>
  <si>
    <t>Programme Code</t>
  </si>
  <si>
    <t>Number of seats sanctioned</t>
  </si>
  <si>
    <t>Number of Students admitted</t>
  </si>
  <si>
    <t>Number of  seats earmarked for reserved category as per GOI or State Government rule</t>
  </si>
  <si>
    <t>Number of students admitted from the reserved category</t>
  </si>
  <si>
    <t>SC</t>
  </si>
  <si>
    <t>ST</t>
  </si>
  <si>
    <t>OBC</t>
  </si>
  <si>
    <t>Gen</t>
  </si>
  <si>
    <t>Others</t>
  </si>
  <si>
    <t>Year - 2022 - 23</t>
  </si>
  <si>
    <t>Year - 2020 - 21</t>
  </si>
  <si>
    <t>Year - 2021 - 22</t>
  </si>
  <si>
    <t>Year - 2019 - 20</t>
  </si>
  <si>
    <t>Year - 2018 - 19</t>
  </si>
  <si>
    <t>B Pharmacy</t>
  </si>
  <si>
    <t>M Pharmacy (Pharmaceutics)</t>
  </si>
  <si>
    <t>M Pharmacy (Industrial Pharmacy)</t>
  </si>
  <si>
    <t>M Pharmacy (Pharmacology)</t>
  </si>
  <si>
    <t>M Pharmacy (Pharmaceutical Analysis)</t>
  </si>
  <si>
    <t>Pharm D</t>
  </si>
  <si>
    <t>Pharm D (PB)</t>
  </si>
  <si>
    <t>PHB</t>
  </si>
  <si>
    <t>PHCETS</t>
  </si>
  <si>
    <t>PHINDP</t>
  </si>
  <si>
    <t>PHCOLG</t>
  </si>
  <si>
    <t>PHANLS</t>
  </si>
  <si>
    <t>PDB</t>
  </si>
  <si>
    <t>PHPHMD</t>
  </si>
  <si>
    <t xml:space="preserve">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</si>
</sst>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6"/>
  <dimension ref="A1:O45"/>
  <sheetViews>
    <sheetView tabSelected="1" workbookViewId="0">
      <selection activeCell="C6" sqref="C6"/>
    </sheetView>
  </sheetViews>
  <sheetFormatPr defaultColWidth="30.1796875" defaultRowHeight="14.5"/>
  <cols>
    <col min="1" max="1" width="35.7265625" style="5" bestFit="1" customWidth="1"/>
    <col min="2" max="2" width="18.81640625" style="5" customWidth="1"/>
    <col min="3" max="3" width="14.54296875" style="5" customWidth="1"/>
    <col min="4" max="4" width="12.54296875" style="5" customWidth="1"/>
    <col min="5" max="5" width="6.54296875" style="5" customWidth="1"/>
    <col min="6" max="6" width="5" style="5" customWidth="1"/>
    <col min="7" max="7" width="6" style="5" customWidth="1"/>
    <col min="8" max="8" width="9" style="5" bestFit="1" customWidth="1"/>
    <col min="9" max="9" width="7.7265625" style="5" customWidth="1"/>
    <col min="10" max="10" width="4.26953125" style="5" customWidth="1"/>
    <col min="11" max="11" width="3.81640625" style="5" customWidth="1"/>
    <col min="12" max="12" width="5.453125" style="5" customWidth="1"/>
    <col min="13" max="13" width="6.1796875" style="5" customWidth="1"/>
    <col min="14" max="14" width="8.81640625" style="5" customWidth="1"/>
    <col min="15" max="16384" width="30.1796875" style="5"/>
  </cols>
  <sheetData>
    <row r="1" spans="1:14">
      <c r="A1" s="5" t="s">
        <v>0</v>
      </c>
    </row>
    <row r="2" spans="1:14" ht="48.6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>
      <c r="A3" s="8" t="s">
        <v>13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45" customHeight="1">
      <c r="A4" s="10" t="s">
        <v>2</v>
      </c>
      <c r="B4" s="10" t="s">
        <v>3</v>
      </c>
      <c r="C4" s="12" t="s">
        <v>4</v>
      </c>
      <c r="D4" s="12" t="s">
        <v>5</v>
      </c>
      <c r="E4" s="14" t="s">
        <v>6</v>
      </c>
      <c r="F4" s="15"/>
      <c r="G4" s="15"/>
      <c r="H4" s="15"/>
      <c r="I4" s="16"/>
      <c r="J4" s="14" t="s">
        <v>7</v>
      </c>
      <c r="K4" s="15"/>
      <c r="L4" s="15"/>
      <c r="M4" s="15"/>
      <c r="N4" s="16"/>
    </row>
    <row r="5" spans="1:14">
      <c r="A5" s="11"/>
      <c r="B5" s="11"/>
      <c r="C5" s="13"/>
      <c r="D5" s="13"/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</row>
    <row r="6" spans="1:14" ht="15.5">
      <c r="A6" s="2" t="s">
        <v>18</v>
      </c>
      <c r="B6" s="2" t="s">
        <v>25</v>
      </c>
      <c r="C6" s="3">
        <v>100</v>
      </c>
      <c r="D6" s="3">
        <v>100</v>
      </c>
      <c r="E6" s="6">
        <f>C6*15%</f>
        <v>15</v>
      </c>
      <c r="F6" s="6">
        <f>C6*6%</f>
        <v>6</v>
      </c>
      <c r="G6" s="6">
        <f>C6*29%</f>
        <v>28.999999999999996</v>
      </c>
      <c r="H6" s="6">
        <f t="shared" ref="H6:H12" si="0">C6*43.5%</f>
        <v>43.5</v>
      </c>
      <c r="I6" s="6">
        <f t="shared" ref="I6:I12" si="1">C6*6.5%</f>
        <v>6.5</v>
      </c>
      <c r="J6" s="3">
        <v>15</v>
      </c>
      <c r="K6" s="3">
        <v>11</v>
      </c>
      <c r="L6" s="3">
        <v>35</v>
      </c>
      <c r="M6" s="3">
        <v>37</v>
      </c>
      <c r="N6" s="3">
        <v>2</v>
      </c>
    </row>
    <row r="7" spans="1:14" ht="15.5">
      <c r="A7" s="2" t="s">
        <v>19</v>
      </c>
      <c r="B7" s="2" t="s">
        <v>26</v>
      </c>
      <c r="C7" s="3">
        <v>15</v>
      </c>
      <c r="D7" s="3">
        <v>12</v>
      </c>
      <c r="E7" s="6">
        <f t="shared" ref="E7:E12" si="2">C7*15%</f>
        <v>2.25</v>
      </c>
      <c r="F7" s="6">
        <f t="shared" ref="F7:F12" si="3">C7*6%</f>
        <v>0.89999999999999991</v>
      </c>
      <c r="G7" s="6">
        <f t="shared" ref="G7:G12" si="4">C7*29%</f>
        <v>4.3499999999999996</v>
      </c>
      <c r="H7" s="6">
        <f t="shared" si="0"/>
        <v>6.5250000000000004</v>
      </c>
      <c r="I7" s="6">
        <f t="shared" si="1"/>
        <v>0.97500000000000009</v>
      </c>
      <c r="J7" s="3">
        <v>2</v>
      </c>
      <c r="K7" s="3">
        <v>1</v>
      </c>
      <c r="L7" s="3">
        <v>8</v>
      </c>
      <c r="M7" s="3">
        <v>1</v>
      </c>
      <c r="N7" s="3">
        <v>0</v>
      </c>
    </row>
    <row r="8" spans="1:14" ht="15.5">
      <c r="A8" s="2" t="s">
        <v>20</v>
      </c>
      <c r="B8" s="2" t="s">
        <v>27</v>
      </c>
      <c r="C8" s="3">
        <v>15</v>
      </c>
      <c r="D8" s="3">
        <v>11</v>
      </c>
      <c r="E8" s="6">
        <f t="shared" si="2"/>
        <v>2.25</v>
      </c>
      <c r="F8" s="6">
        <f t="shared" si="3"/>
        <v>0.89999999999999991</v>
      </c>
      <c r="G8" s="6">
        <f t="shared" si="4"/>
        <v>4.3499999999999996</v>
      </c>
      <c r="H8" s="6">
        <f t="shared" si="0"/>
        <v>6.5250000000000004</v>
      </c>
      <c r="I8" s="6">
        <f t="shared" si="1"/>
        <v>0.97500000000000009</v>
      </c>
      <c r="J8" s="3">
        <v>1</v>
      </c>
      <c r="K8" s="3">
        <v>2</v>
      </c>
      <c r="L8" s="3">
        <v>7</v>
      </c>
      <c r="M8" s="3">
        <v>1</v>
      </c>
      <c r="N8" s="3">
        <v>0</v>
      </c>
    </row>
    <row r="9" spans="1:14" ht="15.5">
      <c r="A9" s="2" t="s">
        <v>21</v>
      </c>
      <c r="B9" s="2" t="s">
        <v>28</v>
      </c>
      <c r="C9" s="3">
        <v>15</v>
      </c>
      <c r="D9" s="3">
        <v>13</v>
      </c>
      <c r="E9" s="6">
        <f t="shared" si="2"/>
        <v>2.25</v>
      </c>
      <c r="F9" s="6">
        <f t="shared" si="3"/>
        <v>0.89999999999999991</v>
      </c>
      <c r="G9" s="6">
        <f t="shared" si="4"/>
        <v>4.3499999999999996</v>
      </c>
      <c r="H9" s="6">
        <f t="shared" si="0"/>
        <v>6.5250000000000004</v>
      </c>
      <c r="I9" s="6">
        <f t="shared" si="1"/>
        <v>0.97500000000000009</v>
      </c>
      <c r="J9" s="3">
        <v>2</v>
      </c>
      <c r="K9" s="3">
        <v>2</v>
      </c>
      <c r="L9" s="3">
        <v>1</v>
      </c>
      <c r="M9" s="3">
        <v>8</v>
      </c>
      <c r="N9" s="3">
        <v>0</v>
      </c>
    </row>
    <row r="10" spans="1:14" ht="15.5">
      <c r="A10" s="2" t="s">
        <v>22</v>
      </c>
      <c r="B10" s="2" t="s">
        <v>29</v>
      </c>
      <c r="C10" s="3">
        <v>15</v>
      </c>
      <c r="D10" s="3">
        <v>10</v>
      </c>
      <c r="E10" s="6">
        <f t="shared" si="2"/>
        <v>2.25</v>
      </c>
      <c r="F10" s="6">
        <f t="shared" si="3"/>
        <v>0.89999999999999991</v>
      </c>
      <c r="G10" s="6">
        <f t="shared" si="4"/>
        <v>4.3499999999999996</v>
      </c>
      <c r="H10" s="6">
        <f t="shared" si="0"/>
        <v>6.5250000000000004</v>
      </c>
      <c r="I10" s="6">
        <f t="shared" si="1"/>
        <v>0.97500000000000009</v>
      </c>
      <c r="J10" s="3">
        <v>0</v>
      </c>
      <c r="K10" s="3">
        <v>2</v>
      </c>
      <c r="L10" s="3">
        <v>8</v>
      </c>
      <c r="M10" s="3">
        <v>0</v>
      </c>
      <c r="N10" s="3">
        <v>0</v>
      </c>
    </row>
    <row r="11" spans="1:14" ht="15.5">
      <c r="A11" s="2" t="s">
        <v>23</v>
      </c>
      <c r="B11" s="2" t="s">
        <v>30</v>
      </c>
      <c r="C11" s="3">
        <v>30</v>
      </c>
      <c r="D11" s="3">
        <v>30</v>
      </c>
      <c r="E11" s="6">
        <f t="shared" si="2"/>
        <v>4.5</v>
      </c>
      <c r="F11" s="6">
        <f t="shared" si="3"/>
        <v>1.7999999999999998</v>
      </c>
      <c r="G11" s="6">
        <f t="shared" si="4"/>
        <v>8.6999999999999993</v>
      </c>
      <c r="H11" s="6">
        <f t="shared" si="0"/>
        <v>13.05</v>
      </c>
      <c r="I11" s="6">
        <f t="shared" si="1"/>
        <v>1.9500000000000002</v>
      </c>
      <c r="J11" s="3">
        <v>3</v>
      </c>
      <c r="K11" s="3">
        <v>1</v>
      </c>
      <c r="L11" s="3">
        <v>7</v>
      </c>
      <c r="M11" s="3">
        <v>19</v>
      </c>
      <c r="N11" s="3">
        <v>0</v>
      </c>
    </row>
    <row r="12" spans="1:14" ht="15.5">
      <c r="A12" s="2" t="s">
        <v>24</v>
      </c>
      <c r="B12" s="2" t="s">
        <v>31</v>
      </c>
      <c r="C12" s="3">
        <v>10</v>
      </c>
      <c r="D12" s="3">
        <v>5</v>
      </c>
      <c r="E12" s="6">
        <f t="shared" si="2"/>
        <v>1.5</v>
      </c>
      <c r="F12" s="6">
        <f t="shared" si="3"/>
        <v>0.6</v>
      </c>
      <c r="G12" s="6">
        <f t="shared" si="4"/>
        <v>2.9</v>
      </c>
      <c r="H12" s="6">
        <f t="shared" si="0"/>
        <v>4.3499999999999996</v>
      </c>
      <c r="I12" s="6">
        <f t="shared" si="1"/>
        <v>0.65</v>
      </c>
      <c r="J12" s="3">
        <v>0</v>
      </c>
      <c r="K12" s="3">
        <v>0</v>
      </c>
      <c r="L12" s="3">
        <v>3</v>
      </c>
      <c r="M12" s="3">
        <v>2</v>
      </c>
      <c r="N12" s="3">
        <v>0</v>
      </c>
    </row>
    <row r="13" spans="1:14">
      <c r="A13" s="17" t="s">
        <v>15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ht="48.75" customHeight="1">
      <c r="A14" s="10" t="s">
        <v>2</v>
      </c>
      <c r="B14" s="10" t="s">
        <v>3</v>
      </c>
      <c r="C14" s="12" t="s">
        <v>4</v>
      </c>
      <c r="D14" s="12" t="s">
        <v>5</v>
      </c>
      <c r="E14" s="14" t="s">
        <v>6</v>
      </c>
      <c r="F14" s="15"/>
      <c r="G14" s="15"/>
      <c r="H14" s="15"/>
      <c r="I14" s="16"/>
      <c r="J14" s="14" t="s">
        <v>7</v>
      </c>
      <c r="K14" s="15"/>
      <c r="L14" s="15"/>
      <c r="M14" s="15"/>
      <c r="N14" s="16"/>
    </row>
    <row r="15" spans="1:14">
      <c r="A15" s="11"/>
      <c r="B15" s="11"/>
      <c r="C15" s="13"/>
      <c r="D15" s="13"/>
      <c r="E15" s="4" t="s">
        <v>8</v>
      </c>
      <c r="F15" s="4" t="s">
        <v>9</v>
      </c>
      <c r="G15" s="4" t="s">
        <v>10</v>
      </c>
      <c r="H15" s="4" t="s">
        <v>11</v>
      </c>
      <c r="I15" s="4" t="s">
        <v>12</v>
      </c>
      <c r="J15" s="4" t="s">
        <v>8</v>
      </c>
      <c r="K15" s="4" t="s">
        <v>9</v>
      </c>
      <c r="L15" s="4" t="s">
        <v>10</v>
      </c>
      <c r="M15" s="4" t="s">
        <v>11</v>
      </c>
      <c r="N15" s="4" t="s">
        <v>12</v>
      </c>
    </row>
    <row r="16" spans="1:14" ht="15.5">
      <c r="A16" s="2" t="s">
        <v>18</v>
      </c>
      <c r="B16" s="2" t="s">
        <v>25</v>
      </c>
      <c r="C16" s="3">
        <v>100</v>
      </c>
      <c r="D16" s="3">
        <v>100</v>
      </c>
      <c r="E16" s="6">
        <f>C16*15%</f>
        <v>15</v>
      </c>
      <c r="F16" s="6">
        <f>C16*6%</f>
        <v>6</v>
      </c>
      <c r="G16" s="6">
        <f>C16*29%</f>
        <v>28.999999999999996</v>
      </c>
      <c r="H16" s="6">
        <f t="shared" ref="H16:H21" si="5">C16*43.5%</f>
        <v>43.5</v>
      </c>
      <c r="I16" s="6">
        <f t="shared" ref="I16:I21" si="6">C16*6.5%</f>
        <v>6.5</v>
      </c>
      <c r="J16" s="3">
        <v>15</v>
      </c>
      <c r="K16" s="3">
        <v>4</v>
      </c>
      <c r="L16" s="3">
        <v>33</v>
      </c>
      <c r="M16" s="3">
        <v>44</v>
      </c>
      <c r="N16" s="3">
        <v>4</v>
      </c>
    </row>
    <row r="17" spans="1:15" ht="15.5">
      <c r="A17" s="2" t="s">
        <v>19</v>
      </c>
      <c r="B17" s="2" t="s">
        <v>26</v>
      </c>
      <c r="C17" s="3">
        <v>15</v>
      </c>
      <c r="D17" s="3">
        <v>13</v>
      </c>
      <c r="E17" s="6">
        <f t="shared" ref="E17:E21" si="7">C17*15%</f>
        <v>2.25</v>
      </c>
      <c r="F17" s="6">
        <f t="shared" ref="F17:F21" si="8">C17*6%</f>
        <v>0.89999999999999991</v>
      </c>
      <c r="G17" s="6">
        <f t="shared" ref="G17:G21" si="9">C17*29%</f>
        <v>4.3499999999999996</v>
      </c>
      <c r="H17" s="6">
        <f t="shared" si="5"/>
        <v>6.5250000000000004</v>
      </c>
      <c r="I17" s="6">
        <f t="shared" si="6"/>
        <v>0.97500000000000009</v>
      </c>
      <c r="J17" s="3">
        <v>0</v>
      </c>
      <c r="K17" s="3">
        <v>0</v>
      </c>
      <c r="L17" s="3">
        <v>3</v>
      </c>
      <c r="M17" s="3">
        <v>10</v>
      </c>
      <c r="N17" s="3">
        <v>0</v>
      </c>
    </row>
    <row r="18" spans="1:15" ht="15.5">
      <c r="A18" s="2" t="s">
        <v>20</v>
      </c>
      <c r="B18" s="2" t="s">
        <v>27</v>
      </c>
      <c r="C18" s="3">
        <v>15</v>
      </c>
      <c r="D18" s="3">
        <v>10</v>
      </c>
      <c r="E18" s="6">
        <f t="shared" si="7"/>
        <v>2.25</v>
      </c>
      <c r="F18" s="6">
        <f t="shared" si="8"/>
        <v>0.89999999999999991</v>
      </c>
      <c r="G18" s="6">
        <f t="shared" si="9"/>
        <v>4.3499999999999996</v>
      </c>
      <c r="H18" s="6">
        <f t="shared" si="5"/>
        <v>6.5250000000000004</v>
      </c>
      <c r="I18" s="6">
        <f t="shared" si="6"/>
        <v>0.97500000000000009</v>
      </c>
      <c r="J18" s="3">
        <v>2</v>
      </c>
      <c r="K18" s="3">
        <v>0</v>
      </c>
      <c r="L18" s="3">
        <v>6</v>
      </c>
      <c r="M18" s="3">
        <v>2</v>
      </c>
      <c r="N18" s="3">
        <v>0</v>
      </c>
    </row>
    <row r="19" spans="1:15" ht="15.5">
      <c r="A19" s="2" t="s">
        <v>21</v>
      </c>
      <c r="B19" s="2" t="s">
        <v>28</v>
      </c>
      <c r="C19" s="3">
        <v>15</v>
      </c>
      <c r="D19" s="3">
        <v>14</v>
      </c>
      <c r="E19" s="6">
        <f t="shared" si="7"/>
        <v>2.25</v>
      </c>
      <c r="F19" s="6">
        <f t="shared" si="8"/>
        <v>0.89999999999999991</v>
      </c>
      <c r="G19" s="6">
        <f t="shared" si="9"/>
        <v>4.3499999999999996</v>
      </c>
      <c r="H19" s="6">
        <f t="shared" si="5"/>
        <v>6.5250000000000004</v>
      </c>
      <c r="I19" s="6">
        <f t="shared" si="6"/>
        <v>0.97500000000000009</v>
      </c>
      <c r="J19" s="3">
        <v>6</v>
      </c>
      <c r="K19" s="3">
        <v>0</v>
      </c>
      <c r="L19" s="3">
        <v>7</v>
      </c>
      <c r="M19" s="3">
        <v>1</v>
      </c>
      <c r="N19" s="3">
        <v>0</v>
      </c>
    </row>
    <row r="20" spans="1:15" ht="15.5">
      <c r="A20" s="2" t="s">
        <v>22</v>
      </c>
      <c r="B20" s="2" t="s">
        <v>29</v>
      </c>
      <c r="C20" s="3">
        <v>15</v>
      </c>
      <c r="D20" s="3">
        <v>14</v>
      </c>
      <c r="E20" s="6">
        <f t="shared" si="7"/>
        <v>2.25</v>
      </c>
      <c r="F20" s="6">
        <f t="shared" si="8"/>
        <v>0.89999999999999991</v>
      </c>
      <c r="G20" s="6">
        <f t="shared" si="9"/>
        <v>4.3499999999999996</v>
      </c>
      <c r="H20" s="6">
        <f t="shared" si="5"/>
        <v>6.5250000000000004</v>
      </c>
      <c r="I20" s="6">
        <f t="shared" si="6"/>
        <v>0.97500000000000009</v>
      </c>
      <c r="J20" s="3">
        <v>1</v>
      </c>
      <c r="K20" s="3">
        <v>1</v>
      </c>
      <c r="L20" s="3">
        <v>9</v>
      </c>
      <c r="M20" s="3">
        <v>3</v>
      </c>
      <c r="N20" s="3">
        <v>0</v>
      </c>
    </row>
    <row r="21" spans="1:15" ht="15.5">
      <c r="A21" s="2" t="s">
        <v>23</v>
      </c>
      <c r="B21" s="2" t="s">
        <v>30</v>
      </c>
      <c r="C21" s="3">
        <v>25</v>
      </c>
      <c r="D21" s="3">
        <v>25</v>
      </c>
      <c r="E21" s="6">
        <f t="shared" si="7"/>
        <v>3.75</v>
      </c>
      <c r="F21" s="6">
        <f t="shared" si="8"/>
        <v>1.5</v>
      </c>
      <c r="G21" s="6">
        <f t="shared" si="9"/>
        <v>7.2499999999999991</v>
      </c>
      <c r="H21" s="6">
        <f t="shared" si="5"/>
        <v>10.875</v>
      </c>
      <c r="I21" s="6">
        <f t="shared" si="6"/>
        <v>1.625</v>
      </c>
      <c r="J21" s="3">
        <v>3</v>
      </c>
      <c r="K21" s="3">
        <v>3</v>
      </c>
      <c r="L21" s="3">
        <v>2</v>
      </c>
      <c r="M21" s="3">
        <v>11</v>
      </c>
      <c r="N21" s="3">
        <v>6</v>
      </c>
    </row>
    <row r="22" spans="1:15">
      <c r="A22" s="17" t="s">
        <v>14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5" ht="45" customHeight="1">
      <c r="A23" s="10" t="s">
        <v>2</v>
      </c>
      <c r="B23" s="10" t="s">
        <v>3</v>
      </c>
      <c r="C23" s="12" t="s">
        <v>4</v>
      </c>
      <c r="D23" s="12" t="s">
        <v>5</v>
      </c>
      <c r="E23" s="14" t="s">
        <v>6</v>
      </c>
      <c r="F23" s="15"/>
      <c r="G23" s="15"/>
      <c r="H23" s="15"/>
      <c r="I23" s="16"/>
      <c r="J23" s="14" t="s">
        <v>7</v>
      </c>
      <c r="K23" s="15"/>
      <c r="L23" s="15"/>
      <c r="M23" s="15"/>
      <c r="N23" s="16"/>
    </row>
    <row r="24" spans="1:15">
      <c r="A24" s="11"/>
      <c r="B24" s="11"/>
      <c r="C24" s="13"/>
      <c r="D24" s="13"/>
      <c r="E24" s="4" t="s">
        <v>8</v>
      </c>
      <c r="F24" s="4" t="s">
        <v>9</v>
      </c>
      <c r="G24" s="4" t="s">
        <v>10</v>
      </c>
      <c r="H24" s="4" t="s">
        <v>11</v>
      </c>
      <c r="I24" s="4" t="s">
        <v>12</v>
      </c>
      <c r="J24" s="4" t="s">
        <v>8</v>
      </c>
      <c r="K24" s="4" t="s">
        <v>9</v>
      </c>
      <c r="L24" s="4" t="s">
        <v>10</v>
      </c>
      <c r="M24" s="4" t="s">
        <v>11</v>
      </c>
      <c r="N24" s="4" t="s">
        <v>12</v>
      </c>
    </row>
    <row r="25" spans="1:15" ht="15.5">
      <c r="A25" s="2" t="s">
        <v>18</v>
      </c>
      <c r="B25" s="2" t="s">
        <v>25</v>
      </c>
      <c r="C25" s="3">
        <v>100</v>
      </c>
      <c r="D25" s="3">
        <v>84</v>
      </c>
      <c r="E25" s="6">
        <f>C25*15%</f>
        <v>15</v>
      </c>
      <c r="F25" s="6">
        <f>C25*6%</f>
        <v>6</v>
      </c>
      <c r="G25" s="6">
        <f>C25*29%</f>
        <v>28.999999999999996</v>
      </c>
      <c r="H25" s="6">
        <f t="shared" ref="H25:H30" si="10">C25*43.5%</f>
        <v>43.5</v>
      </c>
      <c r="I25" s="6">
        <f t="shared" ref="I25:I30" si="11">C25*6.5%</f>
        <v>6.5</v>
      </c>
      <c r="J25" s="3">
        <v>17</v>
      </c>
      <c r="K25" s="3">
        <v>7</v>
      </c>
      <c r="L25" s="3">
        <v>32</v>
      </c>
      <c r="M25" s="3">
        <v>30</v>
      </c>
      <c r="N25" s="3">
        <v>0</v>
      </c>
    </row>
    <row r="26" spans="1:15" ht="15.5">
      <c r="A26" s="2" t="s">
        <v>19</v>
      </c>
      <c r="B26" s="2" t="s">
        <v>26</v>
      </c>
      <c r="C26" s="3">
        <v>15</v>
      </c>
      <c r="D26" s="3">
        <v>11</v>
      </c>
      <c r="E26" s="6">
        <f t="shared" ref="E26:E30" si="12">C26*15%</f>
        <v>2.25</v>
      </c>
      <c r="F26" s="6">
        <f t="shared" ref="F26:F30" si="13">C26*6%</f>
        <v>0.89999999999999991</v>
      </c>
      <c r="G26" s="6">
        <f t="shared" ref="G26:G30" si="14">C26*29%</f>
        <v>4.3499999999999996</v>
      </c>
      <c r="H26" s="6">
        <f t="shared" si="10"/>
        <v>6.5250000000000004</v>
      </c>
      <c r="I26" s="6">
        <f t="shared" si="11"/>
        <v>0.97500000000000009</v>
      </c>
      <c r="J26" s="3">
        <v>1</v>
      </c>
      <c r="K26" s="3">
        <v>2</v>
      </c>
      <c r="L26" s="3">
        <v>6</v>
      </c>
      <c r="M26" s="3">
        <v>2</v>
      </c>
      <c r="N26" s="3">
        <v>0</v>
      </c>
    </row>
    <row r="27" spans="1:15" ht="15.5">
      <c r="A27" s="2" t="s">
        <v>20</v>
      </c>
      <c r="B27" s="2" t="s">
        <v>27</v>
      </c>
      <c r="C27" s="3">
        <v>6</v>
      </c>
      <c r="D27" s="3">
        <v>0</v>
      </c>
      <c r="E27" s="6">
        <f t="shared" si="12"/>
        <v>0.89999999999999991</v>
      </c>
      <c r="F27" s="6">
        <f t="shared" si="13"/>
        <v>0.36</v>
      </c>
      <c r="G27" s="6">
        <f t="shared" si="14"/>
        <v>1.7399999999999998</v>
      </c>
      <c r="H27" s="6">
        <f t="shared" si="10"/>
        <v>2.61</v>
      </c>
      <c r="I27" s="6">
        <f t="shared" si="11"/>
        <v>0.39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5" t="s">
        <v>32</v>
      </c>
    </row>
    <row r="28" spans="1:15" ht="15.5">
      <c r="A28" s="2" t="s">
        <v>21</v>
      </c>
      <c r="B28" s="2" t="s">
        <v>28</v>
      </c>
      <c r="C28" s="3">
        <v>15</v>
      </c>
      <c r="D28" s="3">
        <v>9</v>
      </c>
      <c r="E28" s="6">
        <f t="shared" si="12"/>
        <v>2.25</v>
      </c>
      <c r="F28" s="6">
        <f t="shared" si="13"/>
        <v>0.89999999999999991</v>
      </c>
      <c r="G28" s="6">
        <f t="shared" si="14"/>
        <v>4.3499999999999996</v>
      </c>
      <c r="H28" s="6">
        <f t="shared" si="10"/>
        <v>6.5250000000000004</v>
      </c>
      <c r="I28" s="6">
        <f t="shared" si="11"/>
        <v>0.97500000000000009</v>
      </c>
      <c r="J28" s="3">
        <v>3</v>
      </c>
      <c r="K28" s="3">
        <v>0</v>
      </c>
      <c r="L28" s="3">
        <v>5</v>
      </c>
      <c r="M28" s="3">
        <v>1</v>
      </c>
      <c r="N28" s="3">
        <v>0</v>
      </c>
    </row>
    <row r="29" spans="1:15" ht="15.5">
      <c r="A29" s="2" t="s">
        <v>22</v>
      </c>
      <c r="B29" s="2" t="s">
        <v>29</v>
      </c>
      <c r="C29" s="3">
        <v>15</v>
      </c>
      <c r="D29" s="3">
        <v>10</v>
      </c>
      <c r="E29" s="6">
        <f t="shared" si="12"/>
        <v>2.25</v>
      </c>
      <c r="F29" s="6">
        <f t="shared" si="13"/>
        <v>0.89999999999999991</v>
      </c>
      <c r="G29" s="6">
        <f t="shared" si="14"/>
        <v>4.3499999999999996</v>
      </c>
      <c r="H29" s="6">
        <f t="shared" si="10"/>
        <v>6.5250000000000004</v>
      </c>
      <c r="I29" s="6">
        <f t="shared" si="11"/>
        <v>0.97500000000000009</v>
      </c>
      <c r="J29" s="3">
        <v>1</v>
      </c>
      <c r="K29" s="3">
        <v>0</v>
      </c>
      <c r="L29" s="3">
        <v>7</v>
      </c>
      <c r="M29" s="3">
        <v>2</v>
      </c>
      <c r="N29" s="3">
        <v>0</v>
      </c>
    </row>
    <row r="30" spans="1:15" ht="15.5">
      <c r="A30" s="2" t="s">
        <v>23</v>
      </c>
      <c r="B30" s="2" t="s">
        <v>30</v>
      </c>
      <c r="C30" s="3">
        <v>25</v>
      </c>
      <c r="D30" s="3">
        <v>23</v>
      </c>
      <c r="E30" s="6">
        <f t="shared" si="12"/>
        <v>3.75</v>
      </c>
      <c r="F30" s="6">
        <f t="shared" si="13"/>
        <v>1.5</v>
      </c>
      <c r="G30" s="6">
        <f t="shared" si="14"/>
        <v>7.2499999999999991</v>
      </c>
      <c r="H30" s="6">
        <f t="shared" si="10"/>
        <v>10.875</v>
      </c>
      <c r="I30" s="6">
        <f t="shared" si="11"/>
        <v>1.625</v>
      </c>
      <c r="J30" s="3">
        <v>2</v>
      </c>
      <c r="K30" s="3">
        <v>1</v>
      </c>
      <c r="L30" s="3">
        <v>14</v>
      </c>
      <c r="M30" s="3">
        <v>5</v>
      </c>
      <c r="N30" s="3">
        <v>1</v>
      </c>
    </row>
    <row r="31" spans="1:15">
      <c r="A31" s="8" t="s">
        <v>16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5" ht="45" customHeight="1">
      <c r="A32" s="10" t="s">
        <v>2</v>
      </c>
      <c r="B32" s="10" t="s">
        <v>3</v>
      </c>
      <c r="C32" s="12" t="s">
        <v>4</v>
      </c>
      <c r="D32" s="12" t="s">
        <v>5</v>
      </c>
      <c r="E32" s="14" t="s">
        <v>6</v>
      </c>
      <c r="F32" s="15"/>
      <c r="G32" s="15"/>
      <c r="H32" s="15"/>
      <c r="I32" s="16"/>
      <c r="J32" s="14" t="s">
        <v>7</v>
      </c>
      <c r="K32" s="15"/>
      <c r="L32" s="15"/>
      <c r="M32" s="15"/>
      <c r="N32" s="16"/>
    </row>
    <row r="33" spans="1:14">
      <c r="A33" s="11"/>
      <c r="B33" s="11"/>
      <c r="C33" s="13"/>
      <c r="D33" s="13"/>
      <c r="E33" s="1" t="s">
        <v>8</v>
      </c>
      <c r="F33" s="1" t="s">
        <v>9</v>
      </c>
      <c r="G33" s="1" t="s">
        <v>10</v>
      </c>
      <c r="H33" s="1" t="s">
        <v>11</v>
      </c>
      <c r="I33" s="1" t="s">
        <v>12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</row>
    <row r="34" spans="1:14" ht="15.5">
      <c r="A34" s="2" t="s">
        <v>18</v>
      </c>
      <c r="B34" s="2" t="s">
        <v>25</v>
      </c>
      <c r="C34" s="3">
        <v>100</v>
      </c>
      <c r="D34" s="3">
        <v>69</v>
      </c>
      <c r="E34" s="6">
        <f>C34*15%</f>
        <v>15</v>
      </c>
      <c r="F34" s="6">
        <f>C34*6%</f>
        <v>6</v>
      </c>
      <c r="G34" s="6">
        <f>C34*29%</f>
        <v>28.999999999999996</v>
      </c>
      <c r="H34" s="6">
        <f>C34*43.5%</f>
        <v>43.5</v>
      </c>
      <c r="I34" s="6">
        <f>C34*6.5%</f>
        <v>6.5</v>
      </c>
      <c r="J34" s="3">
        <v>12</v>
      </c>
      <c r="K34" s="3">
        <v>5</v>
      </c>
      <c r="L34" s="3">
        <v>31</v>
      </c>
      <c r="M34" s="3">
        <v>21</v>
      </c>
      <c r="N34" s="3">
        <v>0</v>
      </c>
    </row>
    <row r="35" spans="1:14" ht="15.5">
      <c r="A35" s="2" t="s">
        <v>19</v>
      </c>
      <c r="B35" s="2" t="s">
        <v>26</v>
      </c>
      <c r="C35" s="3">
        <v>15</v>
      </c>
      <c r="D35" s="3">
        <v>10</v>
      </c>
      <c r="E35" s="6">
        <f t="shared" ref="E35:E38" si="15">C35*15%</f>
        <v>2.25</v>
      </c>
      <c r="F35" s="6">
        <f t="shared" ref="F35:F38" si="16">C35*6%</f>
        <v>0.89999999999999991</v>
      </c>
      <c r="G35" s="6">
        <f t="shared" ref="G35:G38" si="17">C35*29%</f>
        <v>4.3499999999999996</v>
      </c>
      <c r="H35" s="6">
        <f>C35*43.5%</f>
        <v>6.5250000000000004</v>
      </c>
      <c r="I35" s="6">
        <f>C35*6.5%</f>
        <v>0.97500000000000009</v>
      </c>
      <c r="J35" s="3">
        <v>1</v>
      </c>
      <c r="K35" s="3">
        <v>1</v>
      </c>
      <c r="L35" s="3">
        <v>7</v>
      </c>
      <c r="M35" s="3">
        <v>1</v>
      </c>
      <c r="N35" s="3">
        <v>0</v>
      </c>
    </row>
    <row r="36" spans="1:14" ht="15.5">
      <c r="A36" s="2" t="s">
        <v>21</v>
      </c>
      <c r="B36" s="2" t="s">
        <v>28</v>
      </c>
      <c r="C36" s="3">
        <v>15</v>
      </c>
      <c r="D36" s="3">
        <v>11</v>
      </c>
      <c r="E36" s="6">
        <f t="shared" si="15"/>
        <v>2.25</v>
      </c>
      <c r="F36" s="6">
        <f t="shared" si="16"/>
        <v>0.89999999999999991</v>
      </c>
      <c r="G36" s="6">
        <f t="shared" si="17"/>
        <v>4.3499999999999996</v>
      </c>
      <c r="H36" s="6">
        <f>C36*43.5%</f>
        <v>6.5250000000000004</v>
      </c>
      <c r="I36" s="6">
        <f>C36*6.5%</f>
        <v>0.97500000000000009</v>
      </c>
      <c r="J36" s="3">
        <v>4</v>
      </c>
      <c r="K36" s="3">
        <v>1</v>
      </c>
      <c r="L36" s="3">
        <v>6</v>
      </c>
      <c r="M36" s="3">
        <v>0</v>
      </c>
      <c r="N36" s="3">
        <v>0</v>
      </c>
    </row>
    <row r="37" spans="1:14" ht="15.5">
      <c r="A37" s="2" t="s">
        <v>22</v>
      </c>
      <c r="B37" s="2" t="s">
        <v>29</v>
      </c>
      <c r="C37" s="3">
        <v>15</v>
      </c>
      <c r="D37" s="3">
        <v>10</v>
      </c>
      <c r="E37" s="6">
        <f t="shared" si="15"/>
        <v>2.25</v>
      </c>
      <c r="F37" s="6">
        <f t="shared" si="16"/>
        <v>0.89999999999999991</v>
      </c>
      <c r="G37" s="6">
        <f t="shared" si="17"/>
        <v>4.3499999999999996</v>
      </c>
      <c r="H37" s="6">
        <f>C37*43.5%</f>
        <v>6.5250000000000004</v>
      </c>
      <c r="I37" s="6">
        <f>C37*6.5%</f>
        <v>0.97500000000000009</v>
      </c>
      <c r="J37" s="3">
        <v>0</v>
      </c>
      <c r="K37" s="3">
        <v>1</v>
      </c>
      <c r="L37" s="3">
        <v>8</v>
      </c>
      <c r="M37" s="3">
        <v>1</v>
      </c>
      <c r="N37" s="3">
        <v>0</v>
      </c>
    </row>
    <row r="38" spans="1:14" ht="15.5">
      <c r="A38" s="2" t="s">
        <v>23</v>
      </c>
      <c r="B38" s="2" t="s">
        <v>30</v>
      </c>
      <c r="C38" s="3">
        <v>25</v>
      </c>
      <c r="D38" s="3">
        <v>24</v>
      </c>
      <c r="E38" s="6">
        <f t="shared" si="15"/>
        <v>3.75</v>
      </c>
      <c r="F38" s="6">
        <f t="shared" si="16"/>
        <v>1.5</v>
      </c>
      <c r="G38" s="6">
        <f t="shared" si="17"/>
        <v>7.2499999999999991</v>
      </c>
      <c r="H38" s="6">
        <f>C38*43.5%</f>
        <v>10.875</v>
      </c>
      <c r="I38" s="6">
        <f>C38*6.5%</f>
        <v>1.625</v>
      </c>
      <c r="J38" s="3">
        <v>4</v>
      </c>
      <c r="K38" s="3">
        <v>1</v>
      </c>
      <c r="L38" s="3">
        <v>14</v>
      </c>
      <c r="M38" s="3">
        <v>5</v>
      </c>
      <c r="N38" s="3">
        <v>0</v>
      </c>
    </row>
    <row r="39" spans="1:14">
      <c r="A39" s="8" t="s">
        <v>17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ht="45" customHeight="1">
      <c r="A40" s="10" t="s">
        <v>2</v>
      </c>
      <c r="B40" s="10" t="s">
        <v>3</v>
      </c>
      <c r="C40" s="12" t="s">
        <v>4</v>
      </c>
      <c r="D40" s="12" t="s">
        <v>5</v>
      </c>
      <c r="E40" s="14" t="s">
        <v>6</v>
      </c>
      <c r="F40" s="15"/>
      <c r="G40" s="15"/>
      <c r="H40" s="15"/>
      <c r="I40" s="16"/>
      <c r="J40" s="14" t="s">
        <v>7</v>
      </c>
      <c r="K40" s="15"/>
      <c r="L40" s="15"/>
      <c r="M40" s="15"/>
      <c r="N40" s="16"/>
    </row>
    <row r="41" spans="1:14">
      <c r="A41" s="11"/>
      <c r="B41" s="11"/>
      <c r="C41" s="13"/>
      <c r="D41" s="13"/>
      <c r="E41" s="1" t="s">
        <v>8</v>
      </c>
      <c r="F41" s="1" t="s">
        <v>9</v>
      </c>
      <c r="G41" s="1" t="s">
        <v>10</v>
      </c>
      <c r="H41" s="1" t="s">
        <v>11</v>
      </c>
      <c r="I41" s="1" t="s">
        <v>12</v>
      </c>
      <c r="J41" s="1" t="s">
        <v>8</v>
      </c>
      <c r="K41" s="1" t="s">
        <v>9</v>
      </c>
      <c r="L41" s="1" t="s">
        <v>10</v>
      </c>
      <c r="M41" s="1" t="s">
        <v>11</v>
      </c>
      <c r="N41" s="1" t="s">
        <v>12</v>
      </c>
    </row>
    <row r="42" spans="1:14" ht="15.5">
      <c r="A42" s="2" t="s">
        <v>18</v>
      </c>
      <c r="B42" s="2" t="s">
        <v>25</v>
      </c>
      <c r="C42" s="3">
        <v>80</v>
      </c>
      <c r="D42" s="3">
        <v>52</v>
      </c>
      <c r="E42" s="6">
        <f>C42*15%</f>
        <v>12</v>
      </c>
      <c r="F42" s="6">
        <f>C42*6%</f>
        <v>4.8</v>
      </c>
      <c r="G42" s="6">
        <f>C42*29%</f>
        <v>23.2</v>
      </c>
      <c r="H42" s="6">
        <f>C42*43.5%</f>
        <v>34.799999999999997</v>
      </c>
      <c r="I42" s="6">
        <f>C42*6.5%</f>
        <v>5.2</v>
      </c>
      <c r="J42" s="3">
        <v>8</v>
      </c>
      <c r="K42" s="3">
        <v>5</v>
      </c>
      <c r="L42" s="3">
        <v>25</v>
      </c>
      <c r="M42" s="3">
        <v>14</v>
      </c>
      <c r="N42" s="3">
        <v>0</v>
      </c>
    </row>
    <row r="43" spans="1:14" ht="15.5">
      <c r="A43" s="2" t="s">
        <v>19</v>
      </c>
      <c r="B43" s="2" t="s">
        <v>26</v>
      </c>
      <c r="C43" s="3">
        <v>15</v>
      </c>
      <c r="D43" s="3">
        <v>13</v>
      </c>
      <c r="E43" s="6">
        <f t="shared" ref="E43:E45" si="18">C43*15%</f>
        <v>2.25</v>
      </c>
      <c r="F43" s="6">
        <f t="shared" ref="F43:F45" si="19">C43*6%</f>
        <v>0.89999999999999991</v>
      </c>
      <c r="G43" s="6">
        <f t="shared" ref="G43:G45" si="20">C43*29%</f>
        <v>4.3499999999999996</v>
      </c>
      <c r="H43" s="6">
        <f>C43*43.5%</f>
        <v>6.5250000000000004</v>
      </c>
      <c r="I43" s="6">
        <f>C43*6.5%</f>
        <v>0.97500000000000009</v>
      </c>
      <c r="J43" s="3">
        <v>3</v>
      </c>
      <c r="K43" s="3">
        <v>1</v>
      </c>
      <c r="L43" s="3">
        <v>8</v>
      </c>
      <c r="M43" s="3">
        <v>1</v>
      </c>
      <c r="N43" s="3">
        <v>0</v>
      </c>
    </row>
    <row r="44" spans="1:14" ht="15.5">
      <c r="A44" s="2" t="s">
        <v>21</v>
      </c>
      <c r="B44" s="2" t="s">
        <v>28</v>
      </c>
      <c r="C44" s="3">
        <v>15</v>
      </c>
      <c r="D44" s="3">
        <v>15</v>
      </c>
      <c r="E44" s="6">
        <f t="shared" si="18"/>
        <v>2.25</v>
      </c>
      <c r="F44" s="6">
        <f t="shared" si="19"/>
        <v>0.89999999999999991</v>
      </c>
      <c r="G44" s="6">
        <f t="shared" si="20"/>
        <v>4.3499999999999996</v>
      </c>
      <c r="H44" s="6">
        <f>C44*43.5%</f>
        <v>6.5250000000000004</v>
      </c>
      <c r="I44" s="6">
        <f>C44*6.5%</f>
        <v>0.97500000000000009</v>
      </c>
      <c r="J44" s="3">
        <v>3</v>
      </c>
      <c r="K44" s="3">
        <v>1</v>
      </c>
      <c r="L44" s="3">
        <v>11</v>
      </c>
      <c r="M44" s="3">
        <v>0</v>
      </c>
      <c r="N44" s="3">
        <v>0</v>
      </c>
    </row>
    <row r="45" spans="1:14" ht="15.5">
      <c r="A45" s="2" t="s">
        <v>23</v>
      </c>
      <c r="B45" s="2" t="s">
        <v>30</v>
      </c>
      <c r="C45" s="3">
        <v>25</v>
      </c>
      <c r="D45" s="3">
        <v>14</v>
      </c>
      <c r="E45" s="6">
        <f t="shared" si="18"/>
        <v>3.75</v>
      </c>
      <c r="F45" s="6">
        <f t="shared" si="19"/>
        <v>1.5</v>
      </c>
      <c r="G45" s="6">
        <f t="shared" si="20"/>
        <v>7.2499999999999991</v>
      </c>
      <c r="H45" s="6">
        <f>C45*43.5%</f>
        <v>10.875</v>
      </c>
      <c r="I45" s="6">
        <f>C45*6.5%</f>
        <v>1.625</v>
      </c>
      <c r="J45" s="3">
        <v>2</v>
      </c>
      <c r="K45" s="3">
        <v>1</v>
      </c>
      <c r="L45" s="3">
        <v>9</v>
      </c>
      <c r="M45" s="3">
        <v>2</v>
      </c>
      <c r="N45" s="3">
        <v>0</v>
      </c>
    </row>
  </sheetData>
  <mergeCells count="36">
    <mergeCell ref="A39:N39"/>
    <mergeCell ref="A40:A41"/>
    <mergeCell ref="B40:B41"/>
    <mergeCell ref="C40:C41"/>
    <mergeCell ref="D40:D41"/>
    <mergeCell ref="E40:I40"/>
    <mergeCell ref="J40:N40"/>
    <mergeCell ref="A31:N31"/>
    <mergeCell ref="A32:A33"/>
    <mergeCell ref="B32:B33"/>
    <mergeCell ref="C32:C33"/>
    <mergeCell ref="D32:D33"/>
    <mergeCell ref="E32:I32"/>
    <mergeCell ref="J32:N32"/>
    <mergeCell ref="A22:N22"/>
    <mergeCell ref="A23:A24"/>
    <mergeCell ref="B23:B24"/>
    <mergeCell ref="C23:C24"/>
    <mergeCell ref="D23:D24"/>
    <mergeCell ref="E23:I23"/>
    <mergeCell ref="J23:N23"/>
    <mergeCell ref="A13:N13"/>
    <mergeCell ref="A14:A15"/>
    <mergeCell ref="B14:B15"/>
    <mergeCell ref="C14:C15"/>
    <mergeCell ref="D14:D15"/>
    <mergeCell ref="E14:I14"/>
    <mergeCell ref="J14:N14"/>
    <mergeCell ref="A2:N2"/>
    <mergeCell ref="A3:N3"/>
    <mergeCell ref="A4:A5"/>
    <mergeCell ref="B4:B5"/>
    <mergeCell ref="C4:C5"/>
    <mergeCell ref="D4:D5"/>
    <mergeCell ref="E4:I4"/>
    <mergeCell ref="J4:N4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2.1.1&amp;2.1.2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dcterms:created xsi:type="dcterms:W3CDTF">2023-10-17T05:18:20Z</dcterms:created>
  <dcterms:modified xsi:type="dcterms:W3CDTF">2024-06-07T11:30:24Z</dcterms:modified>
</cp:coreProperties>
</file>